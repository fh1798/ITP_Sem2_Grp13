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Tabelle1" sheetId="1" r:id="rId4"/>
    <sheet name="Tabelle2" sheetId="2" r:id="rId5"/>
    <sheet name="Blatt 1" sheetId="3" r:id="rId6"/>
  </sheets>
</workbook>
</file>

<file path=xl/sharedStrings.xml><?xml version="1.0" encoding="utf-8"?>
<sst xmlns="http://schemas.openxmlformats.org/spreadsheetml/2006/main" uniqueCount="79">
  <si>
    <t>Sprint Review Protocol</t>
  </si>
  <si>
    <t>Sprint No:</t>
  </si>
  <si>
    <t>Date &amp; Time</t>
  </si>
  <si>
    <t>Group Number</t>
  </si>
  <si>
    <t>Participant 1</t>
  </si>
  <si>
    <t>Bajrektarevic Minea</t>
  </si>
  <si>
    <t>Participant 2</t>
  </si>
  <si>
    <t>Harich Franziska</t>
  </si>
  <si>
    <t>Participant 3</t>
  </si>
  <si>
    <t>Kouhnaward Samir</t>
  </si>
  <si>
    <t>Participant 4</t>
  </si>
  <si>
    <t>Mehmedovic Ensar</t>
  </si>
  <si>
    <t>Participant 5</t>
  </si>
  <si>
    <t>Scheder Marcel</t>
  </si>
  <si>
    <t>Mentor</t>
  </si>
  <si>
    <t>Martin Docsek</t>
  </si>
  <si>
    <t>List the Ids of the Requirements which are subject to the review</t>
  </si>
  <si>
    <t>Req ID</t>
  </si>
  <si>
    <t>short description [opt]</t>
  </si>
  <si>
    <t>Estimate [h]</t>
  </si>
  <si>
    <t>Real Efort [h]</t>
  </si>
  <si>
    <t>Delta [h]</t>
  </si>
  <si>
    <t>Passed</t>
  </si>
  <si>
    <t>failed</t>
  </si>
  <si>
    <t>remarks</t>
  </si>
  <si>
    <t>Checkout</t>
  </si>
  <si>
    <t>Tierlist Ranking</t>
  </si>
  <si>
    <t>Analysis and Design of Tierlist Ranking</t>
  </si>
  <si>
    <t>Child Issue of #65</t>
  </si>
  <si>
    <t>Development of Tierlist Ranking</t>
  </si>
  <si>
    <t>Warenkorb prüfen</t>
  </si>
  <si>
    <t>Child Issue of #19</t>
  </si>
  <si>
    <t>Rechnungsadresse</t>
  </si>
  <si>
    <t>Lieferadresse</t>
  </si>
  <si>
    <t>Versand</t>
  </si>
  <si>
    <t>Child Issue of #19, nicht implementiert</t>
  </si>
  <si>
    <t>Zahlung</t>
  </si>
  <si>
    <t>Adminbereich</t>
  </si>
  <si>
    <t>Kompletten Adminbereich aus Zeitgründen gestrichen</t>
  </si>
  <si>
    <t>Artikel Upload</t>
  </si>
  <si>
    <t>Child Issue of #73</t>
  </si>
  <si>
    <t>Seitenstatistik</t>
  </si>
  <si>
    <t>Chatroom Improvements</t>
  </si>
  <si>
    <t>Modern and Stylized UI</t>
  </si>
  <si>
    <t>Child Issue of #79</t>
  </si>
  <si>
    <t>Customizable User Colors</t>
  </si>
  <si>
    <t>Product Code Recognition</t>
  </si>
  <si>
    <t>Visual Improvements on Site</t>
  </si>
  <si>
    <t>Präsentationsvideo</t>
  </si>
  <si>
    <t>Notes:</t>
  </si>
  <si>
    <t>die Req ID korrespondiert mit der Project ID im Github Project, allerdings nicht mit der Issue # im Repository</t>
  </si>
  <si>
    <t>Arbeitszeit der Parent Issues wurde aus der Summe ihrer Child-Issues berechnet, und daher die Delta-Berechnung aus nur diesen erstellt</t>
  </si>
  <si>
    <t>Sprint Retrospektive</t>
  </si>
  <si>
    <t>Bajrektarevic Minea:</t>
  </si>
  <si>
    <t>Gut</t>
  </si>
  <si>
    <t>Ich konnte viele visuelle Details einheitlich gestalten und das Design deutlich verbessern – z. B. durch konsistente Schriftarten, Abstände und modernere Layouts.</t>
  </si>
  <si>
    <t>Nicht gut</t>
  </si>
  <si>
    <t>Teilweise hat es länger gedauert, kleine Designanpassungen technisch sauber umzusetzen – besonders bei der Integration in bestehende PHP-Strukturen.</t>
  </si>
  <si>
    <t>Meine Aufgaben</t>
  </si>
  <si>
    <t>Visuelle Styling mehrerer Seiten.  Dabei habe ich gezielt an der Schriftgestaltung, dem Layout und responsivem Design gearbeitet, um ein stimmiges und modernes Nutzererlebnis zu schaffen.</t>
  </si>
  <si>
    <t>Wir konnten alle Abschlussarbeiten des Projekts fristgerecht erledigen.</t>
  </si>
  <si>
    <t>Die zwischendurch geplanten Funktionen für einen Adminbereich auf der Website konnten nicht umgesetzt werden.</t>
  </si>
  <si>
    <t>Fehlt</t>
  </si>
  <si>
    <t>Dieses Protokoll, die Manuals, das Einsprechen der Texte des Videos und der Checkoutbereich der Website.</t>
  </si>
  <si>
    <t>Alles lief reibungslos.</t>
  </si>
  <si>
    <t>Habe meinen Beitrag zum Abschlussvideo aufgenommen.</t>
  </si>
  <si>
    <t>Übersichtliche Aufgabenverteilung und klare Kommunikation.</t>
  </si>
  <si>
    <t>Probleme eine vollständige Datenbank-Datei zu finden.</t>
  </si>
  <si>
    <t>Ich habe den Chatroom um neue Funktionen erweitert und die Benutzeroberfläche modernisiert. Zusätzlich habe ich eine Top-5-Rangliste implementiert und mich um die Erstellung des Präsentationsvideos gekümmert.</t>
  </si>
  <si>
    <t>Sprintziel</t>
  </si>
  <si>
    <t>Abschluss des Projekts.</t>
  </si>
  <si>
    <t>Arbeitszeit bei Besprechungen in Stunden</t>
  </si>
  <si>
    <t>Summe:</t>
  </si>
  <si>
    <t>Arbeitszeit Harich ohne Issue #</t>
  </si>
  <si>
    <t>Pro Sprint Protokoll</t>
  </si>
  <si>
    <t>Projekt Application</t>
  </si>
  <si>
    <t>User Manual</t>
  </si>
  <si>
    <t>Deployment Manual</t>
  </si>
  <si>
    <t>Readme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</si>
</sst>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dd.mm.yyyy"/>
  </numFmts>
  <fonts count="9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20"/>
      <color indexed="8"/>
      <name val="Calibri"/>
    </font>
    <font>
      <b val="1"/>
      <sz val="12"/>
      <color indexed="8"/>
      <name val="Calibri"/>
    </font>
    <font>
      <sz val="12"/>
      <color indexed="8"/>
      <name val="Calibri"/>
    </font>
    <font>
      <strike val="1"/>
      <sz val="12"/>
      <color indexed="8"/>
      <name val="Calibri"/>
    </font>
    <font>
      <b val="1"/>
      <sz val="11"/>
      <color indexed="8"/>
      <name val="Calibri"/>
    </font>
    <font>
      <b val="1"/>
      <strike val="1"/>
      <sz val="11"/>
      <color indexed="8"/>
      <name val="Calibri"/>
    </font>
  </fonts>
  <fills count="11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19"/>
        <bgColor auto="1"/>
      </patternFill>
    </fill>
    <fill>
      <patternFill patternType="solid">
        <fgColor indexed="22"/>
        <bgColor auto="1"/>
      </patternFill>
    </fill>
  </fills>
  <borders count="45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medium">
        <color indexed="8"/>
      </bottom>
      <diagonal/>
    </border>
    <border>
      <left style="medium">
        <color indexed="8"/>
      </left>
      <right style="thin">
        <color indexed="10"/>
      </right>
      <top style="medium">
        <color indexed="8"/>
      </top>
      <bottom style="thin">
        <color indexed="8"/>
      </bottom>
      <diagonal/>
    </border>
    <border>
      <left style="thin">
        <color indexed="10"/>
      </left>
      <right/>
      <top style="medium">
        <color indexed="8"/>
      </top>
      <bottom style="thin">
        <color indexed="8"/>
      </bottom>
      <diagonal/>
    </border>
    <border>
      <left/>
      <right/>
      <top style="medium">
        <color indexed="8"/>
      </top>
      <bottom style="thin">
        <color indexed="8"/>
      </bottom>
      <diagonal/>
    </border>
    <border>
      <left/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medium">
        <color indexed="8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medium">
        <color indexed="8"/>
      </right>
      <top style="thin">
        <color indexed="8"/>
      </top>
      <bottom/>
      <diagonal/>
    </border>
    <border>
      <left/>
      <right/>
      <top/>
      <bottom/>
      <diagonal/>
    </border>
    <border>
      <left/>
      <right style="medium">
        <color indexed="8"/>
      </right>
      <top/>
      <bottom/>
      <diagonal/>
    </border>
    <border>
      <left/>
      <right/>
      <top/>
      <bottom style="thin">
        <color indexed="8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10"/>
      </right>
      <top style="thin">
        <color indexed="8"/>
      </top>
      <bottom style="medium">
        <color indexed="8"/>
      </bottom>
      <diagonal/>
    </border>
    <border>
      <left style="thin">
        <color indexed="10"/>
      </left>
      <right/>
      <top style="thin">
        <color indexed="8"/>
      </top>
      <bottom style="medium">
        <color indexed="8"/>
      </bottom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10"/>
      </left>
      <right style="thin">
        <color indexed="10"/>
      </right>
      <top style="medium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/>
      <diagonal/>
    </border>
    <border>
      <left/>
      <right/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/>
      <bottom style="thin">
        <color indexed="8"/>
      </bottom>
      <diagonal/>
    </border>
    <border>
      <left/>
      <right/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16"/>
      </left>
      <right style="thin">
        <color indexed="16"/>
      </right>
      <top style="thin">
        <color indexed="16"/>
      </top>
      <bottom style="thin">
        <color indexed="17"/>
      </bottom>
      <diagonal/>
    </border>
    <border>
      <left style="thin">
        <color indexed="16"/>
      </left>
      <right style="thin">
        <color indexed="17"/>
      </right>
      <top style="thin">
        <color indexed="17"/>
      </top>
      <bottom style="thin">
        <color indexed="16"/>
      </bottom>
      <diagonal/>
    </border>
    <border>
      <left style="thin">
        <color indexed="17"/>
      </left>
      <right style="thin">
        <color indexed="16"/>
      </right>
      <top style="thin">
        <color indexed="17"/>
      </top>
      <bottom style="thin">
        <color indexed="16"/>
      </bottom>
      <diagonal/>
    </border>
    <border>
      <left style="thin">
        <color indexed="16"/>
      </left>
      <right style="thin">
        <color indexed="16"/>
      </right>
      <top style="thin">
        <color indexed="17"/>
      </top>
      <bottom style="thin">
        <color indexed="16"/>
      </bottom>
      <diagonal/>
    </border>
    <border>
      <left style="thin">
        <color indexed="16"/>
      </left>
      <right style="thin">
        <color indexed="17"/>
      </right>
      <top style="thin">
        <color indexed="16"/>
      </top>
      <bottom style="thin">
        <color indexed="16"/>
      </bottom>
      <diagonal/>
    </border>
    <border>
      <left style="thin">
        <color indexed="17"/>
      </left>
      <right style="thin">
        <color indexed="16"/>
      </right>
      <top style="thin">
        <color indexed="16"/>
      </top>
      <bottom style="thin">
        <color indexed="16"/>
      </bottom>
      <diagonal/>
    </border>
    <border>
      <left style="thin">
        <color indexed="16"/>
      </left>
      <right style="thin">
        <color indexed="16"/>
      </right>
      <top style="thin">
        <color indexed="16"/>
      </top>
      <bottom style="thin">
        <color indexed="16"/>
      </bottom>
      <diagonal/>
    </border>
    <border>
      <left style="thin">
        <color indexed="20"/>
      </left>
      <right style="thin">
        <color indexed="20"/>
      </right>
      <top style="thin">
        <color indexed="20"/>
      </top>
      <bottom style="thin">
        <color indexed="21"/>
      </bottom>
      <diagonal/>
    </border>
    <border>
      <left style="thin">
        <color indexed="20"/>
      </left>
      <right style="thin">
        <color indexed="21"/>
      </right>
      <top style="thin">
        <color indexed="21"/>
      </top>
      <bottom style="thin">
        <color indexed="20"/>
      </bottom>
      <diagonal/>
    </border>
    <border>
      <left style="thin">
        <color indexed="21"/>
      </left>
      <right style="thin">
        <color indexed="20"/>
      </right>
      <top style="thin">
        <color indexed="21"/>
      </top>
      <bottom style="thin">
        <color indexed="20"/>
      </bottom>
      <diagonal/>
    </border>
    <border>
      <left style="thin">
        <color indexed="20"/>
      </left>
      <right style="thin">
        <color indexed="20"/>
      </right>
      <top style="thin">
        <color indexed="21"/>
      </top>
      <bottom style="thin">
        <color indexed="20"/>
      </bottom>
      <diagonal/>
    </border>
    <border>
      <left style="thin">
        <color indexed="20"/>
      </left>
      <right style="thin">
        <color indexed="21"/>
      </right>
      <top style="thin">
        <color indexed="20"/>
      </top>
      <bottom style="thin">
        <color indexed="20"/>
      </bottom>
      <diagonal/>
    </border>
    <border>
      <left style="thin">
        <color indexed="21"/>
      </left>
      <right style="thin">
        <color indexed="20"/>
      </right>
      <top style="thin">
        <color indexed="20"/>
      </top>
      <bottom style="thin">
        <color indexed="20"/>
      </bottom>
      <diagonal/>
    </border>
    <border>
      <left style="thin">
        <color indexed="20"/>
      </left>
      <right style="thin">
        <color indexed="20"/>
      </right>
      <top style="thin">
        <color indexed="20"/>
      </top>
      <bottom style="thin">
        <color indexed="2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86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bottom"/>
    </xf>
    <xf numFmtId="0" fontId="3" fillId="2" borderId="1" applyNumberFormat="0" applyFont="1" applyFill="1" applyBorder="1" applyAlignment="1" applyProtection="0">
      <alignment horizontal="center" vertical="bottom"/>
    </xf>
    <xf numFmtId="0" fontId="3" fillId="2" borderId="2" applyNumberFormat="0" applyFont="1" applyFill="1" applyBorder="1" applyAlignment="1" applyProtection="0">
      <alignment horizontal="center" vertical="bottom"/>
    </xf>
    <xf numFmtId="49" fontId="4" fillId="2" borderId="3" applyNumberFormat="1" applyFont="1" applyFill="1" applyBorder="1" applyAlignment="1" applyProtection="0">
      <alignment horizontal="left" vertical="bottom"/>
    </xf>
    <xf numFmtId="0" fontId="4" fillId="2" borderId="4" applyNumberFormat="0" applyFont="1" applyFill="1" applyBorder="1" applyAlignment="1" applyProtection="0">
      <alignment horizontal="left" vertical="bottom"/>
    </xf>
    <xf numFmtId="0" fontId="5" fillId="3" borderId="5" applyNumberFormat="1" applyFont="1" applyFill="1" applyBorder="1" applyAlignment="1" applyProtection="0">
      <alignment horizontal="center" vertical="bottom"/>
    </xf>
    <xf numFmtId="0" fontId="5" fillId="3" borderId="5" applyNumberFormat="0" applyFont="1" applyFill="1" applyBorder="1" applyAlignment="1" applyProtection="0">
      <alignment horizontal="center" vertical="bottom"/>
    </xf>
    <xf numFmtId="0" fontId="5" fillId="3" borderId="6" applyNumberFormat="0" applyFont="1" applyFill="1" applyBorder="1" applyAlignment="1" applyProtection="0">
      <alignment horizontal="center" vertical="bottom"/>
    </xf>
    <xf numFmtId="0" fontId="0" fillId="2" borderId="7" applyNumberFormat="0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49" fontId="4" fillId="2" borderId="8" applyNumberFormat="1" applyFont="1" applyFill="1" applyBorder="1" applyAlignment="1" applyProtection="0">
      <alignment horizontal="left" vertical="bottom"/>
    </xf>
    <xf numFmtId="0" fontId="4" fillId="2" borderId="9" applyNumberFormat="0" applyFont="1" applyFill="1" applyBorder="1" applyAlignment="1" applyProtection="0">
      <alignment horizontal="left" vertical="bottom"/>
    </xf>
    <xf numFmtId="59" fontId="5" fillId="3" borderId="10" applyNumberFormat="1" applyFont="1" applyFill="1" applyBorder="1" applyAlignment="1" applyProtection="0">
      <alignment horizontal="center" vertical="bottom"/>
    </xf>
    <xf numFmtId="0" fontId="5" fillId="3" borderId="10" applyNumberFormat="0" applyFont="1" applyFill="1" applyBorder="1" applyAlignment="1" applyProtection="0">
      <alignment horizontal="center" vertical="bottom"/>
    </xf>
    <xf numFmtId="0" fontId="5" fillId="3" borderId="11" applyNumberFormat="0" applyFont="1" applyFill="1" applyBorder="1" applyAlignment="1" applyProtection="0">
      <alignment horizontal="center" vertical="bottom"/>
    </xf>
    <xf numFmtId="0" fontId="5" fillId="3" borderId="10" applyNumberFormat="1" applyFont="1" applyFill="1" applyBorder="1" applyAlignment="1" applyProtection="0">
      <alignment horizontal="center" vertical="bottom"/>
    </xf>
    <xf numFmtId="49" fontId="5" fillId="3" borderId="12" applyNumberFormat="1" applyFont="1" applyFill="1" applyBorder="1" applyAlignment="1" applyProtection="0">
      <alignment horizontal="center" vertical="bottom"/>
    </xf>
    <xf numFmtId="0" fontId="5" fillId="3" borderId="12" applyNumberFormat="0" applyFont="1" applyFill="1" applyBorder="1" applyAlignment="1" applyProtection="0">
      <alignment horizontal="center" vertical="bottom"/>
    </xf>
    <xf numFmtId="0" fontId="5" fillId="3" borderId="13" applyNumberFormat="0" applyFont="1" applyFill="1" applyBorder="1" applyAlignment="1" applyProtection="0">
      <alignment horizontal="center" vertical="bottom"/>
    </xf>
    <xf numFmtId="49" fontId="5" fillId="3" borderId="14" applyNumberFormat="1" applyFont="1" applyFill="1" applyBorder="1" applyAlignment="1" applyProtection="0">
      <alignment horizontal="center" vertical="bottom"/>
    </xf>
    <xf numFmtId="0" fontId="5" fillId="3" borderId="14" applyNumberFormat="0" applyFont="1" applyFill="1" applyBorder="1" applyAlignment="1" applyProtection="0">
      <alignment horizontal="center" vertical="bottom"/>
    </xf>
    <xf numFmtId="0" fontId="5" fillId="3" borderId="15" applyNumberFormat="0" applyFont="1" applyFill="1" applyBorder="1" applyAlignment="1" applyProtection="0">
      <alignment horizontal="center" vertical="bottom"/>
    </xf>
    <xf numFmtId="49" fontId="6" fillId="3" borderId="14" applyNumberFormat="1" applyFont="1" applyFill="1" applyBorder="1" applyAlignment="1" applyProtection="0">
      <alignment horizontal="center" vertical="bottom"/>
    </xf>
    <xf numFmtId="49" fontId="5" fillId="3" borderId="16" applyNumberFormat="1" applyFont="1" applyFill="1" applyBorder="1" applyAlignment="1" applyProtection="0">
      <alignment horizontal="center" vertical="bottom"/>
    </xf>
    <xf numFmtId="0" fontId="5" fillId="3" borderId="16" applyNumberFormat="0" applyFont="1" applyFill="1" applyBorder="1" applyAlignment="1" applyProtection="0">
      <alignment horizontal="center" vertical="bottom"/>
    </xf>
    <xf numFmtId="0" fontId="5" fillId="3" borderId="17" applyNumberFormat="0" applyFont="1" applyFill="1" applyBorder="1" applyAlignment="1" applyProtection="0">
      <alignment horizontal="center" vertical="bottom"/>
    </xf>
    <xf numFmtId="49" fontId="4" fillId="2" borderId="18" applyNumberFormat="1" applyFont="1" applyFill="1" applyBorder="1" applyAlignment="1" applyProtection="0">
      <alignment horizontal="left" vertical="bottom"/>
    </xf>
    <xf numFmtId="0" fontId="4" fillId="2" borderId="19" applyNumberFormat="0" applyFont="1" applyFill="1" applyBorder="1" applyAlignment="1" applyProtection="0">
      <alignment horizontal="left" vertical="bottom"/>
    </xf>
    <xf numFmtId="49" fontId="5" fillId="3" borderId="20" applyNumberFormat="1" applyFont="1" applyFill="1" applyBorder="1" applyAlignment="1" applyProtection="0">
      <alignment horizontal="center" vertical="bottom"/>
    </xf>
    <xf numFmtId="0" fontId="5" fillId="3" borderId="20" applyNumberFormat="0" applyFont="1" applyFill="1" applyBorder="1" applyAlignment="1" applyProtection="0">
      <alignment horizontal="center" vertical="bottom"/>
    </xf>
    <xf numFmtId="0" fontId="5" fillId="3" borderId="21" applyNumberFormat="0" applyFont="1" applyFill="1" applyBorder="1" applyAlignment="1" applyProtection="0">
      <alignment horizontal="center" vertical="bottom"/>
    </xf>
    <xf numFmtId="0" fontId="0" fillId="2" borderId="22" applyNumberFormat="0" applyFont="1" applyFill="1" applyBorder="1" applyAlignment="1" applyProtection="0">
      <alignment vertical="bottom"/>
    </xf>
    <xf numFmtId="49" fontId="5" fillId="2" borderId="1" applyNumberFormat="1" applyFont="1" applyFill="1" applyBorder="1" applyAlignment="1" applyProtection="0">
      <alignment horizontal="left" vertical="bottom"/>
    </xf>
    <xf numFmtId="0" fontId="5" fillId="2" borderId="1" applyNumberFormat="0" applyFont="1" applyFill="1" applyBorder="1" applyAlignment="1" applyProtection="0">
      <alignment horizontal="left" vertical="bottom"/>
    </xf>
    <xf numFmtId="49" fontId="4" fillId="2" borderId="23" applyNumberFormat="1" applyFont="1" applyFill="1" applyBorder="1" applyAlignment="1" applyProtection="0">
      <alignment vertical="bottom"/>
    </xf>
    <xf numFmtId="49" fontId="4" fillId="2" borderId="1" applyNumberFormat="1" applyFont="1" applyFill="1" applyBorder="1" applyAlignment="1" applyProtection="0">
      <alignment vertical="bottom"/>
    </xf>
    <xf numFmtId="0" fontId="5" fillId="3" borderId="24" applyNumberFormat="1" applyFont="1" applyFill="1" applyBorder="1" applyAlignment="1" applyProtection="0">
      <alignment horizontal="right" vertical="bottom"/>
    </xf>
    <xf numFmtId="49" fontId="0" fillId="3" borderId="14" applyNumberFormat="1" applyFont="1" applyFill="1" applyBorder="1" applyAlignment="1" applyProtection="0">
      <alignment vertical="bottom"/>
    </xf>
    <xf numFmtId="0" fontId="0" fillId="3" borderId="14" applyNumberFormat="1" applyFont="1" applyFill="1" applyBorder="1" applyAlignment="1" applyProtection="0">
      <alignment vertical="bottom"/>
    </xf>
    <xf numFmtId="0" fontId="0" fillId="2" borderId="25" applyNumberFormat="1" applyFont="1" applyFill="1" applyBorder="1" applyAlignment="1" applyProtection="0">
      <alignment vertical="bottom"/>
    </xf>
    <xf numFmtId="0" fontId="0" fillId="4" borderId="14" applyNumberFormat="1" applyFont="1" applyFill="1" applyBorder="1" applyAlignment="1" applyProtection="0">
      <alignment vertical="bottom"/>
    </xf>
    <xf numFmtId="0" fontId="0" fillId="5" borderId="14" applyNumberFormat="0" applyFont="1" applyFill="1" applyBorder="1" applyAlignment="1" applyProtection="0">
      <alignment vertical="bottom"/>
    </xf>
    <xf numFmtId="0" fontId="0" fillId="2" borderId="26" applyNumberFormat="0" applyFont="1" applyFill="1" applyBorder="1" applyAlignment="1" applyProtection="0">
      <alignment vertical="bottom"/>
    </xf>
    <xf numFmtId="0" fontId="0" fillId="2" borderId="25" applyNumberFormat="0" applyFont="1" applyFill="1" applyBorder="1" applyAlignment="1" applyProtection="0">
      <alignment vertical="bottom"/>
    </xf>
    <xf numFmtId="0" fontId="0" fillId="4" borderId="14" applyNumberFormat="0" applyFont="1" applyFill="1" applyBorder="1" applyAlignment="1" applyProtection="0">
      <alignment vertical="bottom"/>
    </xf>
    <xf numFmtId="0" fontId="0" fillId="5" borderId="14" applyNumberFormat="1" applyFont="1" applyFill="1" applyBorder="1" applyAlignment="1" applyProtection="0">
      <alignment vertical="bottom"/>
    </xf>
    <xf numFmtId="0" fontId="0" fillId="3" borderId="14" applyNumberFormat="0" applyFont="1" applyFill="1" applyBorder="1" applyAlignment="1" applyProtection="0">
      <alignment vertical="bottom"/>
    </xf>
    <xf numFmtId="0" fontId="5" fillId="3" borderId="27" applyNumberFormat="1" applyFont="1" applyFill="1" applyBorder="1" applyAlignment="1" applyProtection="0">
      <alignment horizontal="right" vertical="bottom"/>
    </xf>
    <xf numFmtId="49" fontId="0" fillId="3" borderId="16" applyNumberFormat="1" applyFont="1" applyFill="1" applyBorder="1" applyAlignment="1" applyProtection="0">
      <alignment vertical="bottom"/>
    </xf>
    <xf numFmtId="0" fontId="0" fillId="3" borderId="16" applyNumberFormat="1" applyFont="1" applyFill="1" applyBorder="1" applyAlignment="1" applyProtection="0">
      <alignment vertical="bottom"/>
    </xf>
    <xf numFmtId="0" fontId="0" fillId="2" borderId="28" applyNumberFormat="1" applyFont="1" applyFill="1" applyBorder="1" applyAlignment="1" applyProtection="0">
      <alignment vertical="bottom"/>
    </xf>
    <xf numFmtId="0" fontId="0" fillId="4" borderId="16" applyNumberFormat="1" applyFont="1" applyFill="1" applyBorder="1" applyAlignment="1" applyProtection="0">
      <alignment vertical="bottom"/>
    </xf>
    <xf numFmtId="0" fontId="0" fillId="5" borderId="16" applyNumberFormat="0" applyFont="1" applyFill="1" applyBorder="1" applyAlignment="1" applyProtection="0">
      <alignment vertical="bottom"/>
    </xf>
    <xf numFmtId="0" fontId="0" fillId="3" borderId="16" applyNumberFormat="0" applyFont="1" applyFill="1" applyBorder="1" applyAlignment="1" applyProtection="0">
      <alignment vertical="bottom"/>
    </xf>
    <xf numFmtId="0" fontId="0" fillId="2" borderId="29" applyNumberFormat="1" applyFont="1" applyFill="1" applyBorder="1" applyAlignment="1" applyProtection="0">
      <alignment vertical="bottom"/>
    </xf>
    <xf numFmtId="0" fontId="0" fillId="2" borderId="29" applyNumberFormat="0" applyFont="1" applyFill="1" applyBorder="1" applyAlignment="1" applyProtection="0">
      <alignment vertical="bottom"/>
    </xf>
    <xf numFmtId="0" fontId="0" fillId="2" borderId="23" applyNumberFormat="0" applyFont="1" applyFill="1" applyBorder="1" applyAlignment="1" applyProtection="0">
      <alignment vertical="bottom"/>
    </xf>
    <xf numFmtId="49" fontId="0" fillId="6" borderId="24" applyNumberFormat="1" applyFont="1" applyFill="1" applyBorder="1" applyAlignment="1" applyProtection="0">
      <alignment vertical="bottom"/>
    </xf>
    <xf numFmtId="49" fontId="0" fillId="2" borderId="30" applyNumberFormat="1" applyFont="1" applyFill="1" applyBorder="1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7" fillId="7" borderId="31" applyNumberFormat="1" applyFont="1" applyFill="1" applyBorder="1" applyAlignment="1" applyProtection="0">
      <alignment vertical="bottom"/>
    </xf>
    <xf numFmtId="0" fontId="7" fillId="7" borderId="31" applyNumberFormat="0" applyFont="1" applyFill="1" applyBorder="1" applyAlignment="1" applyProtection="0">
      <alignment vertical="bottom"/>
    </xf>
    <xf numFmtId="0" fontId="7" fillId="8" borderId="32" applyNumberFormat="0" applyFont="1" applyFill="1" applyBorder="1" applyAlignment="1" applyProtection="0">
      <alignment vertical="bottom"/>
    </xf>
    <xf numFmtId="0" fontId="0" fillId="2" borderId="33" applyNumberFormat="0" applyFont="1" applyFill="1" applyBorder="1" applyAlignment="1" applyProtection="0">
      <alignment vertical="bottom"/>
    </xf>
    <xf numFmtId="0" fontId="0" fillId="2" borderId="34" applyNumberFormat="0" applyFont="1" applyFill="1" applyBorder="1" applyAlignment="1" applyProtection="0">
      <alignment vertical="bottom"/>
    </xf>
    <xf numFmtId="49" fontId="7" fillId="8" borderId="35" applyNumberFormat="1" applyFont="1" applyFill="1" applyBorder="1" applyAlignment="1" applyProtection="0">
      <alignment vertical="bottom"/>
    </xf>
    <xf numFmtId="0" fontId="0" fillId="2" borderId="36" applyNumberFormat="0" applyFont="1" applyFill="1" applyBorder="1" applyAlignment="1" applyProtection="0">
      <alignment vertical="bottom"/>
    </xf>
    <xf numFmtId="0" fontId="0" fillId="2" borderId="37" applyNumberFormat="0" applyFont="1" applyFill="1" applyBorder="1" applyAlignment="1" applyProtection="0">
      <alignment vertical="bottom"/>
    </xf>
    <xf numFmtId="49" fontId="0" fillId="2" borderId="36" applyNumberFormat="1" applyFont="1" applyFill="1" applyBorder="1" applyAlignment="1" applyProtection="0">
      <alignment vertical="bottom"/>
    </xf>
    <xf numFmtId="0" fontId="7" fillId="8" borderId="35" applyNumberFormat="0" applyFont="1" applyFill="1" applyBorder="1" applyAlignment="1" applyProtection="0">
      <alignment vertical="bottom"/>
    </xf>
    <xf numFmtId="49" fontId="8" fillId="8" borderId="35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7" fillId="9" borderId="38" applyNumberFormat="1" applyFont="1" applyFill="1" applyBorder="1" applyAlignment="1" applyProtection="0">
      <alignment vertical="bottom"/>
    </xf>
    <xf numFmtId="0" fontId="7" fillId="9" borderId="38" applyNumberFormat="0" applyFont="1" applyFill="1" applyBorder="1" applyAlignment="1" applyProtection="0">
      <alignment vertical="bottom"/>
    </xf>
    <xf numFmtId="59" fontId="7" fillId="10" borderId="39" applyNumberFormat="1" applyFont="1" applyFill="1" applyBorder="1" applyAlignment="1" applyProtection="0">
      <alignment vertical="bottom"/>
    </xf>
    <xf numFmtId="0" fontId="0" borderId="40" applyNumberFormat="1" applyFont="1" applyFill="0" applyBorder="1" applyAlignment="1" applyProtection="0">
      <alignment vertical="bottom"/>
    </xf>
    <xf numFmtId="0" fontId="0" borderId="41" applyNumberFormat="0" applyFont="1" applyFill="0" applyBorder="1" applyAlignment="1" applyProtection="0">
      <alignment vertical="bottom"/>
    </xf>
    <xf numFmtId="59" fontId="7" fillId="10" borderId="42" applyNumberFormat="1" applyFont="1" applyFill="1" applyBorder="1" applyAlignment="1" applyProtection="0">
      <alignment vertical="bottom"/>
    </xf>
    <xf numFmtId="0" fontId="0" borderId="43" applyNumberFormat="1" applyFont="1" applyFill="0" applyBorder="1" applyAlignment="1" applyProtection="0">
      <alignment vertical="bottom"/>
    </xf>
    <xf numFmtId="0" fontId="0" borderId="44" applyNumberFormat="0" applyFont="1" applyFill="0" applyBorder="1" applyAlignment="1" applyProtection="0">
      <alignment vertical="bottom"/>
    </xf>
    <xf numFmtId="49" fontId="7" fillId="10" borderId="42" applyNumberFormat="1" applyFont="1" applyFill="1" applyBorder="1" applyAlignment="1" applyProtection="0">
      <alignment vertical="bottom"/>
    </xf>
    <xf numFmtId="0" fontId="7" fillId="10" borderId="42" applyNumberFormat="0" applyFont="1" applyFill="1" applyBorder="1" applyAlignment="1" applyProtection="0">
      <alignment vertical="bottom"/>
    </xf>
    <xf numFmtId="0" fontId="0" borderId="43" applyNumberFormat="0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fff2cb"/>
      <rgbColor rgb="ff92d050"/>
      <rgbColor rgb="ffff0000"/>
      <rgbColor rgb="ffb7d6a3"/>
      <rgbColor rgb="ffbdc0bf"/>
      <rgbColor rgb="ffa5a5a5"/>
      <rgbColor rgb="ff3f3f3f"/>
      <rgbColor rgb="ffdbdbdb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I41"/>
  <sheetViews>
    <sheetView workbookViewId="0" showGridLines="0" defaultGridColor="1"/>
  </sheetViews>
  <sheetFormatPr defaultColWidth="10.8333" defaultRowHeight="15.75" customHeight="1" outlineLevelRow="0" outlineLevelCol="0"/>
  <cols>
    <col min="1" max="1" width="8" style="1" customWidth="1"/>
    <col min="2" max="2" width="32.6719" style="1" customWidth="1"/>
    <col min="3" max="3" width="13.5" style="1" customWidth="1"/>
    <col min="4" max="4" width="13.8516" style="1" customWidth="1"/>
    <col min="5" max="5" width="9.5" style="1" customWidth="1"/>
    <col min="6" max="7" width="11.5" style="1" customWidth="1"/>
    <col min="8" max="8" width="34.5" style="1" customWidth="1"/>
    <col min="9" max="9" width="11.5" style="1" customWidth="1"/>
    <col min="10" max="16384" width="10.8516" style="1" customWidth="1"/>
  </cols>
  <sheetData>
    <row r="1" ht="8.5" customHeight="1">
      <c r="A1" t="s" s="2">
        <v>0</v>
      </c>
      <c r="B1" s="3"/>
      <c r="C1" s="3"/>
      <c r="D1" s="3"/>
      <c r="E1" s="3"/>
      <c r="F1" s="3"/>
      <c r="G1" s="3"/>
      <c r="H1" s="3"/>
      <c r="I1" s="3"/>
    </row>
    <row r="2" ht="13.55" customHeight="1">
      <c r="A2" s="3"/>
      <c r="B2" s="3"/>
      <c r="C2" s="3"/>
      <c r="D2" s="3"/>
      <c r="E2" s="3"/>
      <c r="F2" s="3"/>
      <c r="G2" s="3"/>
      <c r="H2" s="3"/>
      <c r="I2" s="3"/>
    </row>
    <row r="3" ht="27" customHeight="1">
      <c r="A3" s="4"/>
      <c r="B3" s="4"/>
      <c r="C3" s="4"/>
      <c r="D3" s="4"/>
      <c r="E3" s="4"/>
      <c r="F3" s="4"/>
      <c r="G3" s="4"/>
      <c r="H3" s="3"/>
      <c r="I3" s="3"/>
    </row>
    <row r="4" ht="15.85" customHeight="1">
      <c r="A4" t="s" s="5">
        <v>1</v>
      </c>
      <c r="B4" s="6"/>
      <c r="C4" s="7">
        <v>7</v>
      </c>
      <c r="D4" s="8"/>
      <c r="E4" s="8"/>
      <c r="F4" s="8"/>
      <c r="G4" s="9"/>
      <c r="H4" s="10"/>
      <c r="I4" s="11"/>
    </row>
    <row r="5" ht="15.35" customHeight="1">
      <c r="A5" t="s" s="12">
        <v>2</v>
      </c>
      <c r="B5" s="13"/>
      <c r="C5" s="14">
        <v>45832</v>
      </c>
      <c r="D5" s="15"/>
      <c r="E5" s="15"/>
      <c r="F5" s="15"/>
      <c r="G5" s="16"/>
      <c r="H5" s="10"/>
      <c r="I5" s="11"/>
    </row>
    <row r="6" ht="15.35" customHeight="1">
      <c r="A6" t="s" s="12">
        <v>3</v>
      </c>
      <c r="B6" s="13"/>
      <c r="C6" s="17">
        <v>13</v>
      </c>
      <c r="D6" s="15"/>
      <c r="E6" s="15"/>
      <c r="F6" s="15"/>
      <c r="G6" s="16"/>
      <c r="H6" s="10"/>
      <c r="I6" s="11"/>
    </row>
    <row r="7" ht="15.35" customHeight="1">
      <c r="A7" t="s" s="12">
        <v>4</v>
      </c>
      <c r="B7" s="13"/>
      <c r="C7" t="s" s="18">
        <v>5</v>
      </c>
      <c r="D7" s="19"/>
      <c r="E7" s="19"/>
      <c r="F7" s="19"/>
      <c r="G7" s="20"/>
      <c r="H7" s="10"/>
      <c r="I7" s="11"/>
    </row>
    <row r="8" ht="15.35" customHeight="1">
      <c r="A8" t="s" s="12">
        <v>6</v>
      </c>
      <c r="B8" s="13"/>
      <c r="C8" t="s" s="21">
        <v>7</v>
      </c>
      <c r="D8" s="22"/>
      <c r="E8" s="22"/>
      <c r="F8" s="22"/>
      <c r="G8" s="23"/>
      <c r="H8" s="10"/>
      <c r="I8" s="11"/>
    </row>
    <row r="9" ht="15.35" customHeight="1">
      <c r="A9" t="s" s="12">
        <v>8</v>
      </c>
      <c r="B9" s="13"/>
      <c r="C9" t="s" s="21">
        <v>9</v>
      </c>
      <c r="D9" s="22"/>
      <c r="E9" s="22"/>
      <c r="F9" s="22"/>
      <c r="G9" s="23"/>
      <c r="H9" s="10"/>
      <c r="I9" s="11"/>
    </row>
    <row r="10" ht="15.35" customHeight="1">
      <c r="A10" t="s" s="12">
        <v>10</v>
      </c>
      <c r="B10" s="13"/>
      <c r="C10" t="s" s="24">
        <v>11</v>
      </c>
      <c r="D10" s="22"/>
      <c r="E10" s="22"/>
      <c r="F10" s="22"/>
      <c r="G10" s="23"/>
      <c r="H10" s="10"/>
      <c r="I10" s="11"/>
    </row>
    <row r="11" ht="15.35" customHeight="1">
      <c r="A11" t="s" s="12">
        <v>12</v>
      </c>
      <c r="B11" s="13"/>
      <c r="C11" t="s" s="25">
        <v>13</v>
      </c>
      <c r="D11" s="26"/>
      <c r="E11" s="26"/>
      <c r="F11" s="26"/>
      <c r="G11" s="27"/>
      <c r="H11" s="10"/>
      <c r="I11" s="11"/>
    </row>
    <row r="12" ht="16.5" customHeight="1">
      <c r="A12" t="s" s="28">
        <v>14</v>
      </c>
      <c r="B12" s="29"/>
      <c r="C12" t="s" s="30">
        <v>15</v>
      </c>
      <c r="D12" s="31"/>
      <c r="E12" s="31"/>
      <c r="F12" s="31"/>
      <c r="G12" s="32"/>
      <c r="H12" s="10"/>
      <c r="I12" s="11"/>
    </row>
    <row r="13" ht="14.05" customHeight="1">
      <c r="A13" s="33"/>
      <c r="B13" s="33"/>
      <c r="C13" s="33"/>
      <c r="D13" s="33"/>
      <c r="E13" s="33"/>
      <c r="F13" s="33"/>
      <c r="G13" s="33"/>
      <c r="H13" s="11"/>
      <c r="I13" s="11"/>
    </row>
    <row r="14" ht="15.35" customHeight="1">
      <c r="A14" t="s" s="34">
        <v>16</v>
      </c>
      <c r="B14" s="35"/>
      <c r="C14" s="35"/>
      <c r="D14" s="35"/>
      <c r="E14" s="35"/>
      <c r="F14" s="35"/>
      <c r="G14" s="35"/>
      <c r="H14" s="35"/>
      <c r="I14" s="11"/>
    </row>
    <row r="15" ht="15.35" customHeight="1">
      <c r="A15" t="s" s="36">
        <v>17</v>
      </c>
      <c r="B15" t="s" s="36">
        <v>18</v>
      </c>
      <c r="C15" t="s" s="36">
        <v>19</v>
      </c>
      <c r="D15" t="s" s="36">
        <v>20</v>
      </c>
      <c r="E15" t="s" s="37">
        <v>21</v>
      </c>
      <c r="F15" t="s" s="36">
        <v>22</v>
      </c>
      <c r="G15" t="s" s="36">
        <v>23</v>
      </c>
      <c r="H15" t="s" s="36">
        <v>24</v>
      </c>
      <c r="I15" s="11"/>
    </row>
    <row r="16" ht="15.35" customHeight="1">
      <c r="A16" s="38">
        <v>19</v>
      </c>
      <c r="B16" t="s" s="39">
        <v>25</v>
      </c>
      <c r="C16" s="40">
        <f>C20+C21+C22+C23+C24</f>
        <v>3</v>
      </c>
      <c r="D16" s="40">
        <f>D20+D21+D22+D23+D24</f>
        <v>2</v>
      </c>
      <c r="E16" s="41">
        <f>D16-C16</f>
        <v>-1</v>
      </c>
      <c r="F16" s="42">
        <v>1</v>
      </c>
      <c r="G16" s="43"/>
      <c r="H16" s="39"/>
      <c r="I16" s="44"/>
    </row>
    <row r="17" ht="15.35" customHeight="1">
      <c r="A17" s="38">
        <v>65</v>
      </c>
      <c r="B17" t="s" s="39">
        <v>26</v>
      </c>
      <c r="C17" s="40">
        <f>C18+C19</f>
        <v>7</v>
      </c>
      <c r="D17" s="40">
        <f>D18+D19</f>
        <v>5</v>
      </c>
      <c r="E17" s="41">
        <f>D17-C17</f>
        <v>-2</v>
      </c>
      <c r="F17" s="42">
        <v>1</v>
      </c>
      <c r="G17" s="43"/>
      <c r="H17" s="39"/>
      <c r="I17" s="44"/>
    </row>
    <row r="18" ht="15.35" customHeight="1">
      <c r="A18" s="38">
        <v>66</v>
      </c>
      <c r="B18" t="s" s="39">
        <v>27</v>
      </c>
      <c r="C18" s="40">
        <v>2</v>
      </c>
      <c r="D18" s="40">
        <v>2</v>
      </c>
      <c r="E18" s="45"/>
      <c r="F18" s="42">
        <v>1</v>
      </c>
      <c r="G18" s="43"/>
      <c r="H18" t="s" s="39">
        <v>28</v>
      </c>
      <c r="I18" s="44"/>
    </row>
    <row r="19" ht="15.35" customHeight="1">
      <c r="A19" s="38">
        <v>67</v>
      </c>
      <c r="B19" t="s" s="39">
        <v>29</v>
      </c>
      <c r="C19" s="40">
        <v>5</v>
      </c>
      <c r="D19" s="40">
        <v>3</v>
      </c>
      <c r="E19" s="45"/>
      <c r="F19" s="42">
        <v>1</v>
      </c>
      <c r="G19" s="43"/>
      <c r="H19" t="s" s="39">
        <v>28</v>
      </c>
      <c r="I19" s="44"/>
    </row>
    <row r="20" ht="15.35" customHeight="1">
      <c r="A20" s="38">
        <v>68</v>
      </c>
      <c r="B20" t="s" s="39">
        <v>30</v>
      </c>
      <c r="C20" s="40">
        <v>1</v>
      </c>
      <c r="D20" s="40">
        <v>0.9</v>
      </c>
      <c r="E20" s="45"/>
      <c r="F20" s="42">
        <v>1</v>
      </c>
      <c r="G20" s="43"/>
      <c r="H20" t="s" s="39">
        <v>31</v>
      </c>
      <c r="I20" s="44"/>
    </row>
    <row r="21" ht="15.35" customHeight="1">
      <c r="A21" s="38">
        <v>69</v>
      </c>
      <c r="B21" t="s" s="39">
        <v>32</v>
      </c>
      <c r="C21" s="40">
        <v>0.5</v>
      </c>
      <c r="D21" s="40">
        <v>0.1</v>
      </c>
      <c r="E21" s="45"/>
      <c r="F21" s="42">
        <v>1</v>
      </c>
      <c r="G21" s="43"/>
      <c r="H21" t="s" s="39">
        <v>31</v>
      </c>
      <c r="I21" s="44"/>
    </row>
    <row r="22" ht="15.35" customHeight="1">
      <c r="A22" s="38">
        <v>70</v>
      </c>
      <c r="B22" t="s" s="39">
        <v>33</v>
      </c>
      <c r="C22" s="40">
        <v>0.5</v>
      </c>
      <c r="D22" s="40">
        <v>1</v>
      </c>
      <c r="E22" s="45"/>
      <c r="F22" s="42">
        <v>1</v>
      </c>
      <c r="G22" s="43"/>
      <c r="H22" t="s" s="39">
        <v>31</v>
      </c>
      <c r="I22" s="44"/>
    </row>
    <row r="23" ht="15.35" customHeight="1">
      <c r="A23" s="38">
        <v>71</v>
      </c>
      <c r="B23" t="s" s="39">
        <v>34</v>
      </c>
      <c r="C23" s="40">
        <v>0.5</v>
      </c>
      <c r="D23" s="40">
        <v>0</v>
      </c>
      <c r="E23" s="45"/>
      <c r="F23" s="46"/>
      <c r="G23" s="47">
        <v>1</v>
      </c>
      <c r="H23" t="s" s="39">
        <v>35</v>
      </c>
      <c r="I23" s="44"/>
    </row>
    <row r="24" ht="15.35" customHeight="1">
      <c r="A24" s="38">
        <v>72</v>
      </c>
      <c r="B24" t="s" s="39">
        <v>36</v>
      </c>
      <c r="C24" s="40">
        <v>0.5</v>
      </c>
      <c r="D24" s="40">
        <v>0</v>
      </c>
      <c r="E24" s="45"/>
      <c r="F24" s="46"/>
      <c r="G24" s="47">
        <v>1</v>
      </c>
      <c r="H24" t="s" s="39">
        <v>35</v>
      </c>
      <c r="I24" s="44"/>
    </row>
    <row r="25" ht="15.35" customHeight="1">
      <c r="A25" s="38">
        <v>73</v>
      </c>
      <c r="B25" t="s" s="39">
        <v>37</v>
      </c>
      <c r="C25" s="48"/>
      <c r="D25" s="48"/>
      <c r="E25" s="41">
        <f>D25-C25</f>
        <v>0</v>
      </c>
      <c r="F25" s="46"/>
      <c r="G25" s="47">
        <v>1</v>
      </c>
      <c r="H25" t="s" s="39">
        <v>38</v>
      </c>
      <c r="I25" s="44"/>
    </row>
    <row r="26" ht="15.35" customHeight="1">
      <c r="A26" s="38">
        <v>74</v>
      </c>
      <c r="B26" t="s" s="39">
        <v>39</v>
      </c>
      <c r="C26" s="48"/>
      <c r="D26" s="48"/>
      <c r="E26" s="45"/>
      <c r="F26" s="46"/>
      <c r="G26" s="47">
        <v>1</v>
      </c>
      <c r="H26" t="s" s="39">
        <v>40</v>
      </c>
      <c r="I26" s="44"/>
    </row>
    <row r="27" ht="15.35" customHeight="1">
      <c r="A27" s="38">
        <v>75</v>
      </c>
      <c r="B27" t="s" s="39">
        <v>41</v>
      </c>
      <c r="C27" s="48"/>
      <c r="D27" s="48"/>
      <c r="E27" s="45"/>
      <c r="F27" s="46"/>
      <c r="G27" s="47">
        <v>1</v>
      </c>
      <c r="H27" t="s" s="39">
        <v>40</v>
      </c>
      <c r="I27" s="44"/>
    </row>
    <row r="28" ht="15.35" customHeight="1">
      <c r="A28" s="38">
        <v>79</v>
      </c>
      <c r="B28" t="s" s="39">
        <v>42</v>
      </c>
      <c r="C28" s="40">
        <f>C29+C30+C31</f>
        <v>15</v>
      </c>
      <c r="D28" s="40">
        <f>D29+D30+D31</f>
        <v>16</v>
      </c>
      <c r="E28" s="41">
        <f>D28-C28</f>
        <v>1</v>
      </c>
      <c r="F28" s="42">
        <v>1</v>
      </c>
      <c r="G28" s="43"/>
      <c r="H28" s="39"/>
      <c r="I28" s="44"/>
    </row>
    <row r="29" ht="15.35" customHeight="1">
      <c r="A29" s="38">
        <v>80</v>
      </c>
      <c r="B29" t="s" s="39">
        <v>43</v>
      </c>
      <c r="C29" s="40">
        <v>10</v>
      </c>
      <c r="D29" s="40">
        <v>11</v>
      </c>
      <c r="E29" s="45"/>
      <c r="F29" s="42">
        <v>1</v>
      </c>
      <c r="G29" s="43"/>
      <c r="H29" t="s" s="39">
        <v>44</v>
      </c>
      <c r="I29" s="44"/>
    </row>
    <row r="30" ht="15.35" customHeight="1">
      <c r="A30" s="38">
        <v>81</v>
      </c>
      <c r="B30" t="s" s="39">
        <v>45</v>
      </c>
      <c r="C30" s="40">
        <v>4</v>
      </c>
      <c r="D30" s="40">
        <v>2</v>
      </c>
      <c r="E30" s="45"/>
      <c r="F30" s="42">
        <v>1</v>
      </c>
      <c r="G30" s="43"/>
      <c r="H30" t="s" s="39">
        <v>44</v>
      </c>
      <c r="I30" s="44"/>
    </row>
    <row r="31" ht="15.35" customHeight="1">
      <c r="A31" s="38">
        <v>82</v>
      </c>
      <c r="B31" t="s" s="39">
        <v>46</v>
      </c>
      <c r="C31" s="40">
        <v>1</v>
      </c>
      <c r="D31" s="40">
        <v>3</v>
      </c>
      <c r="E31" s="45"/>
      <c r="F31" s="42">
        <v>1</v>
      </c>
      <c r="G31" s="43"/>
      <c r="H31" t="s" s="39">
        <v>44</v>
      </c>
      <c r="I31" s="44"/>
    </row>
    <row r="32" ht="15.35" customHeight="1">
      <c r="A32" s="38">
        <v>84</v>
      </c>
      <c r="B32" t="s" s="39">
        <v>47</v>
      </c>
      <c r="C32" s="40">
        <v>10</v>
      </c>
      <c r="D32" s="40">
        <v>22.5</v>
      </c>
      <c r="E32" s="41">
        <f>D32-C32</f>
        <v>12.5</v>
      </c>
      <c r="F32" s="42">
        <v>1</v>
      </c>
      <c r="G32" s="43"/>
      <c r="H32" s="39"/>
      <c r="I32" s="44"/>
    </row>
    <row r="33" ht="15.35" customHeight="1">
      <c r="A33" s="49">
        <v>85</v>
      </c>
      <c r="B33" t="s" s="50">
        <v>48</v>
      </c>
      <c r="C33" s="51">
        <v>20</v>
      </c>
      <c r="D33" s="51">
        <v>15</v>
      </c>
      <c r="E33" s="52">
        <f>D33-C33</f>
        <v>-5</v>
      </c>
      <c r="F33" s="53">
        <v>1</v>
      </c>
      <c r="G33" s="54"/>
      <c r="H33" s="55"/>
      <c r="I33" s="44"/>
    </row>
    <row r="34" ht="15.35" customHeight="1">
      <c r="A34" s="56">
        <f>COUNT(A16:A33)</f>
        <v>18</v>
      </c>
      <c r="B34" s="57"/>
      <c r="C34" s="57"/>
      <c r="D34" s="57"/>
      <c r="E34" s="56">
        <f>SUM(E16:E33)</f>
        <v>5.5</v>
      </c>
      <c r="F34" s="56">
        <f>COUNT(F16:F33)</f>
        <v>13</v>
      </c>
      <c r="G34" s="56">
        <f>COUNT(G16:G33)</f>
        <v>5</v>
      </c>
      <c r="H34" s="57"/>
      <c r="I34" s="11"/>
    </row>
    <row r="35" ht="13.55" customHeight="1">
      <c r="A35" s="11"/>
      <c r="B35" s="11"/>
      <c r="C35" s="11"/>
      <c r="D35" s="11"/>
      <c r="E35" s="11"/>
      <c r="F35" s="11"/>
      <c r="G35" s="11"/>
      <c r="H35" s="11"/>
      <c r="I35" s="11"/>
    </row>
    <row r="36" ht="13.55" customHeight="1">
      <c r="A36" s="11"/>
      <c r="B36" s="11"/>
      <c r="C36" s="11"/>
      <c r="D36" s="11"/>
      <c r="E36" s="11"/>
      <c r="F36" s="11"/>
      <c r="G36" s="11"/>
      <c r="H36" s="11"/>
      <c r="I36" s="11"/>
    </row>
    <row r="37" ht="13.55" customHeight="1">
      <c r="A37" s="58"/>
      <c r="B37" s="11"/>
      <c r="C37" s="11"/>
      <c r="D37" s="11"/>
      <c r="E37" s="11"/>
      <c r="F37" s="11"/>
      <c r="G37" s="11"/>
      <c r="H37" s="11"/>
      <c r="I37" s="11"/>
    </row>
    <row r="38" ht="15.35" customHeight="1">
      <c r="A38" t="s" s="59">
        <v>49</v>
      </c>
      <c r="B38" s="44"/>
      <c r="C38" s="11"/>
      <c r="D38" s="11"/>
      <c r="E38" s="11"/>
      <c r="F38" s="11"/>
      <c r="G38" s="11"/>
      <c r="H38" s="11"/>
      <c r="I38" s="11"/>
    </row>
    <row r="39" ht="15.35" customHeight="1">
      <c r="A39" t="s" s="60">
        <v>50</v>
      </c>
      <c r="B39" s="11"/>
      <c r="C39" s="11"/>
      <c r="D39" s="11"/>
      <c r="E39" s="11"/>
      <c r="F39" s="11"/>
      <c r="G39" s="11"/>
      <c r="H39" s="11"/>
      <c r="I39" s="11"/>
    </row>
    <row r="40" ht="15.35" customHeight="1">
      <c r="A40" t="s" s="61">
        <v>51</v>
      </c>
      <c r="B40" s="11"/>
      <c r="C40" s="11"/>
      <c r="D40" s="11"/>
      <c r="E40" s="11"/>
      <c r="F40" s="11"/>
      <c r="G40" s="11"/>
      <c r="H40" s="11"/>
      <c r="I40" s="11"/>
    </row>
    <row r="41" ht="15.35" customHeight="1">
      <c r="A41" s="61"/>
      <c r="B41" s="11"/>
      <c r="C41" s="11"/>
      <c r="D41" s="11"/>
      <c r="E41" s="11"/>
      <c r="F41" s="11"/>
      <c r="G41" s="11"/>
      <c r="H41" s="11"/>
      <c r="I41" s="11"/>
    </row>
  </sheetData>
  <mergeCells count="20">
    <mergeCell ref="C11:G11"/>
    <mergeCell ref="C12:G12"/>
    <mergeCell ref="A10:B10"/>
    <mergeCell ref="A11:B11"/>
    <mergeCell ref="A12:B12"/>
    <mergeCell ref="C4:G4"/>
    <mergeCell ref="C5:G5"/>
    <mergeCell ref="C6:G6"/>
    <mergeCell ref="C7:G7"/>
    <mergeCell ref="C8:G8"/>
    <mergeCell ref="C9:G9"/>
    <mergeCell ref="C10:G10"/>
    <mergeCell ref="A4:B4"/>
    <mergeCell ref="A5:B5"/>
    <mergeCell ref="A6:B6"/>
    <mergeCell ref="A7:B7"/>
    <mergeCell ref="A8:B8"/>
    <mergeCell ref="A9:B9"/>
    <mergeCell ref="A14:H14"/>
    <mergeCell ref="A1:I2"/>
  </mergeCells>
  <pageMargins left="0.7" right="0.7" top="0.787402" bottom="0.787402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31"/>
  <sheetViews>
    <sheetView workbookViewId="0" showGridLines="0" defaultGridColor="1"/>
  </sheetViews>
  <sheetFormatPr defaultColWidth="16.3333" defaultRowHeight="15.4" customHeight="1" outlineLevelRow="0" outlineLevelCol="0"/>
  <cols>
    <col min="1" max="7" width="16.3516" style="62" customWidth="1"/>
    <col min="8" max="16384" width="16.3516" style="62" customWidth="1"/>
  </cols>
  <sheetData>
    <row r="1" ht="13.1" customHeight="1">
      <c r="A1" t="s" s="63">
        <v>52</v>
      </c>
      <c r="B1" s="64"/>
      <c r="C1" s="64"/>
      <c r="D1" s="64"/>
      <c r="E1" s="64"/>
      <c r="F1" s="64"/>
      <c r="G1" s="64"/>
    </row>
    <row r="2" ht="13.1" customHeight="1">
      <c r="A2" s="65"/>
      <c r="B2" s="66"/>
      <c r="C2" s="67"/>
      <c r="D2" s="67"/>
      <c r="E2" s="67"/>
      <c r="F2" s="67"/>
      <c r="G2" s="67"/>
    </row>
    <row r="3" ht="12.9" customHeight="1">
      <c r="A3" t="s" s="68">
        <v>53</v>
      </c>
      <c r="B3" s="69"/>
      <c r="C3" s="70"/>
      <c r="D3" s="70"/>
      <c r="E3" s="70"/>
      <c r="F3" s="70"/>
      <c r="G3" s="70"/>
    </row>
    <row r="4" ht="12.9" customHeight="1">
      <c r="A4" t="s" s="68">
        <v>54</v>
      </c>
      <c r="B4" t="s" s="71">
        <v>55</v>
      </c>
      <c r="C4" s="70"/>
      <c r="D4" s="70"/>
      <c r="E4" s="70"/>
      <c r="F4" s="70"/>
      <c r="G4" s="70"/>
    </row>
    <row r="5" ht="12.9" customHeight="1">
      <c r="A5" t="s" s="68">
        <v>56</v>
      </c>
      <c r="B5" t="s" s="71">
        <v>57</v>
      </c>
      <c r="C5" s="70"/>
      <c r="D5" s="70"/>
      <c r="E5" s="70"/>
      <c r="F5" s="70"/>
      <c r="G5" s="70"/>
    </row>
    <row r="6" ht="12.9" customHeight="1">
      <c r="A6" t="s" s="68">
        <v>58</v>
      </c>
      <c r="B6" t="s" s="71">
        <v>59</v>
      </c>
      <c r="C6" s="70"/>
      <c r="D6" s="70"/>
      <c r="E6" s="70"/>
      <c r="F6" s="70"/>
      <c r="G6" s="70"/>
    </row>
    <row r="7" ht="12.9" customHeight="1">
      <c r="A7" s="72"/>
      <c r="B7" s="69"/>
      <c r="C7" s="70"/>
      <c r="D7" s="70"/>
      <c r="E7" s="70"/>
      <c r="F7" s="70"/>
      <c r="G7" s="70"/>
    </row>
    <row r="8" ht="12.9" customHeight="1">
      <c r="A8" t="s" s="68">
        <v>7</v>
      </c>
      <c r="B8" s="69"/>
      <c r="C8" s="70"/>
      <c r="D8" s="70"/>
      <c r="E8" s="70"/>
      <c r="F8" s="70"/>
      <c r="G8" s="70"/>
    </row>
    <row r="9" ht="12.9" customHeight="1">
      <c r="A9" t="s" s="68">
        <v>54</v>
      </c>
      <c r="B9" t="s" s="71">
        <v>60</v>
      </c>
      <c r="C9" s="70"/>
      <c r="D9" s="70"/>
      <c r="E9" s="70"/>
      <c r="F9" s="70"/>
      <c r="G9" s="70"/>
    </row>
    <row r="10" ht="12.9" customHeight="1">
      <c r="A10" t="s" s="68">
        <v>56</v>
      </c>
      <c r="B10" t="s" s="71">
        <v>61</v>
      </c>
      <c r="C10" s="70"/>
      <c r="D10" s="70"/>
      <c r="E10" s="70"/>
      <c r="F10" s="70"/>
      <c r="G10" s="70"/>
    </row>
    <row r="11" ht="12.9" customHeight="1">
      <c r="A11" t="s" s="68">
        <v>62</v>
      </c>
      <c r="B11" s="71"/>
      <c r="C11" s="70"/>
      <c r="D11" s="70"/>
      <c r="E11" s="70"/>
      <c r="F11" s="70"/>
      <c r="G11" s="70"/>
    </row>
    <row r="12" ht="12.9" customHeight="1">
      <c r="A12" t="s" s="68">
        <v>58</v>
      </c>
      <c r="B12" t="s" s="71">
        <v>63</v>
      </c>
      <c r="C12" s="70"/>
      <c r="D12" s="70"/>
      <c r="E12" s="70"/>
      <c r="F12" s="70"/>
      <c r="G12" s="70"/>
    </row>
    <row r="13" ht="12.9" customHeight="1">
      <c r="A13" s="72"/>
      <c r="B13" s="69"/>
      <c r="C13" s="70"/>
      <c r="D13" s="70"/>
      <c r="E13" s="70"/>
      <c r="F13" s="70"/>
      <c r="G13" s="70"/>
    </row>
    <row r="14" ht="12.9" customHeight="1">
      <c r="A14" t="s" s="68">
        <v>9</v>
      </c>
      <c r="B14" s="69"/>
      <c r="C14" s="70"/>
      <c r="D14" s="70"/>
      <c r="E14" s="70"/>
      <c r="F14" s="70"/>
      <c r="G14" s="70"/>
    </row>
    <row r="15" ht="12.9" customHeight="1">
      <c r="A15" t="s" s="68">
        <v>54</v>
      </c>
      <c r="B15" t="s" s="71">
        <v>64</v>
      </c>
      <c r="C15" s="70"/>
      <c r="D15" s="70"/>
      <c r="E15" s="70"/>
      <c r="F15" s="70"/>
      <c r="G15" s="70"/>
    </row>
    <row r="16" ht="12.9" customHeight="1">
      <c r="A16" t="s" s="68">
        <v>56</v>
      </c>
      <c r="B16" s="71"/>
      <c r="C16" s="70"/>
      <c r="D16" s="70"/>
      <c r="E16" s="70"/>
      <c r="F16" s="70"/>
      <c r="G16" s="70"/>
    </row>
    <row r="17" ht="12.9" customHeight="1">
      <c r="A17" t="s" s="68">
        <v>58</v>
      </c>
      <c r="B17" t="s" s="71">
        <v>65</v>
      </c>
      <c r="C17" s="70"/>
      <c r="D17" s="70"/>
      <c r="E17" s="70"/>
      <c r="F17" s="70"/>
      <c r="G17" s="70"/>
    </row>
    <row r="18" ht="12.9" customHeight="1">
      <c r="A18" s="72"/>
      <c r="B18" s="69"/>
      <c r="C18" s="70"/>
      <c r="D18" s="70"/>
      <c r="E18" s="70"/>
      <c r="F18" s="70"/>
      <c r="G18" s="70"/>
    </row>
    <row r="19" ht="12.9" customHeight="1">
      <c r="A19" t="s" s="73">
        <v>11</v>
      </c>
      <c r="B19" s="69"/>
      <c r="C19" s="70"/>
      <c r="D19" s="70"/>
      <c r="E19" s="70"/>
      <c r="F19" s="70"/>
      <c r="G19" s="70"/>
    </row>
    <row r="20" ht="12.9" customHeight="1">
      <c r="A20" s="68"/>
      <c r="B20" s="71"/>
      <c r="C20" s="70"/>
      <c r="D20" s="70"/>
      <c r="E20" s="70"/>
      <c r="F20" s="70"/>
      <c r="G20" s="70"/>
    </row>
    <row r="21" ht="12.9" customHeight="1">
      <c r="A21" s="68"/>
      <c r="B21" s="71"/>
      <c r="C21" s="70"/>
      <c r="D21" s="70"/>
      <c r="E21" s="70"/>
      <c r="F21" s="70"/>
      <c r="G21" s="70"/>
    </row>
    <row r="22" ht="12.9" customHeight="1">
      <c r="A22" s="68"/>
      <c r="B22" s="71"/>
      <c r="C22" s="70"/>
      <c r="D22" s="70"/>
      <c r="E22" s="70"/>
      <c r="F22" s="70"/>
      <c r="G22" s="70"/>
    </row>
    <row r="23" ht="12.9" customHeight="1">
      <c r="A23" s="72"/>
      <c r="B23" s="69"/>
      <c r="C23" s="70"/>
      <c r="D23" s="70"/>
      <c r="E23" s="70"/>
      <c r="F23" s="70"/>
      <c r="G23" s="70"/>
    </row>
    <row r="24" ht="12.9" customHeight="1">
      <c r="A24" t="s" s="68">
        <v>13</v>
      </c>
      <c r="B24" s="69"/>
      <c r="C24" s="70"/>
      <c r="D24" s="70"/>
      <c r="E24" s="70"/>
      <c r="F24" s="70"/>
      <c r="G24" s="70"/>
    </row>
    <row r="25" ht="12.9" customHeight="1">
      <c r="A25" t="s" s="68">
        <v>54</v>
      </c>
      <c r="B25" t="s" s="71">
        <v>66</v>
      </c>
      <c r="C25" s="70"/>
      <c r="D25" s="70"/>
      <c r="E25" s="70"/>
      <c r="F25" s="70"/>
      <c r="G25" s="70"/>
    </row>
    <row r="26" ht="12.9" customHeight="1">
      <c r="A26" t="s" s="68">
        <v>56</v>
      </c>
      <c r="B26" t="s" s="71">
        <v>67</v>
      </c>
      <c r="C26" s="70"/>
      <c r="D26" s="70"/>
      <c r="E26" s="70"/>
      <c r="F26" s="70"/>
      <c r="G26" s="70"/>
    </row>
    <row r="27" ht="12.9" customHeight="1">
      <c r="A27" t="s" s="68">
        <v>62</v>
      </c>
      <c r="B27" s="71"/>
      <c r="C27" s="70"/>
      <c r="D27" s="70"/>
      <c r="E27" s="70"/>
      <c r="F27" s="70"/>
      <c r="G27" s="70"/>
    </row>
    <row r="28" ht="12.9" customHeight="1">
      <c r="A28" t="s" s="68">
        <v>58</v>
      </c>
      <c r="B28" t="s" s="71">
        <v>68</v>
      </c>
      <c r="C28" s="70"/>
      <c r="D28" s="70"/>
      <c r="E28" s="70"/>
      <c r="F28" s="70"/>
      <c r="G28" s="70"/>
    </row>
    <row r="29" ht="12.9" customHeight="1">
      <c r="A29" s="72"/>
      <c r="B29" s="71"/>
      <c r="C29" s="70"/>
      <c r="D29" s="70"/>
      <c r="E29" s="70"/>
      <c r="F29" s="70"/>
      <c r="G29" s="70"/>
    </row>
    <row r="30" ht="12.9" customHeight="1">
      <c r="A30" s="72"/>
      <c r="B30" s="69"/>
      <c r="C30" s="70"/>
      <c r="D30" s="70"/>
      <c r="E30" s="70"/>
      <c r="F30" s="70"/>
      <c r="G30" s="70"/>
    </row>
    <row r="31" ht="12.9" customHeight="1">
      <c r="A31" t="s" s="68">
        <v>69</v>
      </c>
      <c r="B31" t="s" s="71">
        <v>70</v>
      </c>
      <c r="C31" s="70"/>
      <c r="D31" s="70"/>
      <c r="E31" s="70"/>
      <c r="F31" s="70"/>
      <c r="G31" s="70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21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5.4" customHeight="1" outlineLevelRow="0" outlineLevelCol="0"/>
  <cols>
    <col min="1" max="5" width="16.3516" style="74" customWidth="1"/>
    <col min="6" max="16384" width="16.3516" style="74" customWidth="1"/>
  </cols>
  <sheetData>
    <row r="1" ht="13.1" customHeight="1">
      <c r="A1" t="s" s="75">
        <v>71</v>
      </c>
      <c r="B1" s="76"/>
      <c r="C1" s="76"/>
      <c r="D1" s="76"/>
      <c r="E1" s="76"/>
    </row>
    <row r="2" ht="13.1" customHeight="1">
      <c r="A2" s="77">
        <v>45709</v>
      </c>
      <c r="B2" s="78">
        <v>1.5</v>
      </c>
      <c r="C2" s="79"/>
      <c r="D2" s="79"/>
      <c r="E2" s="79"/>
    </row>
    <row r="3" ht="12.9" customHeight="1">
      <c r="A3" s="80">
        <v>45713</v>
      </c>
      <c r="B3" s="81">
        <v>0.5</v>
      </c>
      <c r="C3" s="82"/>
      <c r="D3" s="82"/>
      <c r="E3" s="82"/>
    </row>
    <row r="4" ht="12.9" customHeight="1">
      <c r="A4" s="80">
        <v>45727</v>
      </c>
      <c r="B4" s="81">
        <v>0.5</v>
      </c>
      <c r="C4" s="82"/>
      <c r="D4" s="82"/>
      <c r="E4" s="82"/>
    </row>
    <row r="5" ht="12.9" customHeight="1">
      <c r="A5" s="80">
        <v>45733</v>
      </c>
      <c r="B5" s="81">
        <v>1</v>
      </c>
      <c r="C5" s="82"/>
      <c r="D5" s="82"/>
      <c r="E5" s="82"/>
    </row>
    <row r="6" ht="12.9" customHeight="1">
      <c r="A6" s="80">
        <v>45737</v>
      </c>
      <c r="B6" s="81">
        <v>2</v>
      </c>
      <c r="C6" s="82"/>
      <c r="D6" s="82"/>
      <c r="E6" s="82"/>
    </row>
    <row r="7" ht="12.9" customHeight="1">
      <c r="A7" s="80">
        <v>45771</v>
      </c>
      <c r="B7" s="81">
        <v>0.5</v>
      </c>
      <c r="C7" s="82"/>
      <c r="D7" s="82"/>
      <c r="E7" s="82"/>
    </row>
    <row r="8" ht="12.9" customHeight="1">
      <c r="A8" s="80">
        <v>45775</v>
      </c>
      <c r="B8" s="81">
        <v>0.5</v>
      </c>
      <c r="C8" s="82"/>
      <c r="D8" s="82"/>
      <c r="E8" s="82"/>
    </row>
    <row r="9" ht="12.9" customHeight="1">
      <c r="A9" s="80">
        <v>45779</v>
      </c>
      <c r="B9" s="81">
        <v>0.1</v>
      </c>
      <c r="C9" s="82"/>
      <c r="D9" s="82"/>
      <c r="E9" s="82"/>
    </row>
    <row r="10" ht="12.9" customHeight="1">
      <c r="A10" s="80">
        <v>45783</v>
      </c>
      <c r="B10" s="81">
        <v>0.2</v>
      </c>
      <c r="C10" s="82"/>
      <c r="D10" s="82"/>
      <c r="E10" s="82"/>
    </row>
    <row r="11" ht="12.9" customHeight="1">
      <c r="A11" s="80">
        <v>45812</v>
      </c>
      <c r="B11" s="81">
        <v>0.2</v>
      </c>
      <c r="C11" s="82"/>
      <c r="D11" s="82"/>
      <c r="E11" s="82"/>
    </row>
    <row r="12" ht="12.9" customHeight="1">
      <c r="A12" s="80">
        <v>45826</v>
      </c>
      <c r="B12" s="81">
        <v>1</v>
      </c>
      <c r="C12" s="82"/>
      <c r="D12" s="82"/>
      <c r="E12" s="82"/>
    </row>
    <row r="13" ht="12.9" customHeight="1">
      <c r="A13" t="s" s="83">
        <v>72</v>
      </c>
      <c r="B13" s="81">
        <f>SUM(B2:B12)</f>
        <v>8</v>
      </c>
      <c r="C13" s="82"/>
      <c r="D13" s="82"/>
      <c r="E13" s="82"/>
    </row>
    <row r="14" ht="12.9" customHeight="1">
      <c r="A14" s="84"/>
      <c r="B14" s="85"/>
      <c r="C14" s="82"/>
      <c r="D14" s="82"/>
      <c r="E14" s="82"/>
    </row>
    <row r="15" ht="12.9" customHeight="1">
      <c r="A15" t="s" s="83">
        <v>73</v>
      </c>
      <c r="B15" s="85"/>
      <c r="C15" s="82"/>
      <c r="D15" s="82"/>
      <c r="E15" s="82"/>
    </row>
    <row r="16" ht="12.9" customHeight="1">
      <c r="A16" t="s" s="83">
        <v>74</v>
      </c>
      <c r="B16" s="81">
        <v>1</v>
      </c>
      <c r="C16" s="82"/>
      <c r="D16" s="82"/>
      <c r="E16" s="82"/>
    </row>
    <row r="17" ht="12.9" customHeight="1">
      <c r="A17" t="s" s="83">
        <v>75</v>
      </c>
      <c r="B17" s="81">
        <v>1</v>
      </c>
      <c r="C17" s="82"/>
      <c r="D17" s="82"/>
      <c r="E17" s="82"/>
    </row>
    <row r="18" ht="12.9" customHeight="1">
      <c r="A18" t="s" s="83">
        <v>76</v>
      </c>
      <c r="B18" s="81">
        <v>1</v>
      </c>
      <c r="C18" s="82"/>
      <c r="D18" s="82"/>
      <c r="E18" s="82"/>
    </row>
    <row r="19" ht="12.9" customHeight="1">
      <c r="A19" t="s" s="83">
        <v>77</v>
      </c>
      <c r="B19" s="81">
        <v>2</v>
      </c>
      <c r="C19" s="82"/>
      <c r="D19" s="82"/>
      <c r="E19" s="82"/>
    </row>
    <row r="20" ht="12.9" customHeight="1">
      <c r="A20" t="s" s="83">
        <v>78</v>
      </c>
      <c r="B20" s="81">
        <v>0.5</v>
      </c>
      <c r="C20" s="82"/>
      <c r="D20" s="82"/>
      <c r="E20" s="82"/>
    </row>
    <row r="21" ht="12.9" customHeight="1">
      <c r="A21" s="84"/>
      <c r="B21" s="85"/>
      <c r="C21" s="82"/>
      <c r="D21" s="82"/>
      <c r="E21" s="82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